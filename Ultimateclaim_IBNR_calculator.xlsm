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aeabf61c84c439/Desktop/Actuar_project/"/>
    </mc:Choice>
  </mc:AlternateContent>
  <xr:revisionPtr revIDLastSave="667" documentId="8_{936D75A4-3E12-4AFB-920D-1011050E70DA}" xr6:coauthVersionLast="47" xr6:coauthVersionMax="47" xr10:uidLastSave="{1ADC933F-B7AF-42F4-B5FA-27116C4AD7E9}"/>
  <bookViews>
    <workbookView xWindow="-108" yWindow="-108" windowWidth="23256" windowHeight="12456" activeTab="2" xr2:uid="{19D90D87-E78E-4E63-B9D5-510704AFCAB1}"/>
  </bookViews>
  <sheets>
    <sheet name="Calculator" sheetId="2" r:id="rId1"/>
    <sheet name="Completion_Factors" sheetId="1" r:id="rId2"/>
    <sheet name="Companies" sheetId="3" r:id="rId3"/>
  </sheets>
  <definedNames>
    <definedName name="_xleta.SUM" hidden="1" xlm="1">#NAME?</definedName>
  </definedName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" i="2" l="1"/>
  <c r="D10" i="2" s="1"/>
  <c r="C13" i="2"/>
  <c r="C14" i="2" s="1"/>
  <c r="G9" i="2"/>
  <c r="G10" i="2" s="1"/>
  <c r="F9" i="2"/>
  <c r="E9" i="2"/>
  <c r="E10" i="2" s="1"/>
  <c r="C9" i="2"/>
  <c r="B9" i="2"/>
  <c r="B10" i="2" s="1"/>
  <c r="G19" i="2"/>
  <c r="G20" i="2" s="1"/>
  <c r="F19" i="2"/>
  <c r="F20" i="2" s="1"/>
  <c r="E19" i="2"/>
  <c r="E20" i="2" s="1"/>
  <c r="D19" i="2"/>
  <c r="D20" i="2" s="1"/>
  <c r="C19" i="2"/>
  <c r="C20" i="2" s="1"/>
  <c r="B19" i="2"/>
  <c r="B20" i="2" s="1"/>
  <c r="G13" i="2"/>
  <c r="G14" i="2" s="1"/>
  <c r="F13" i="2"/>
  <c r="F14" i="2" s="1"/>
  <c r="E13" i="2"/>
  <c r="E14" i="2" s="1"/>
  <c r="D13" i="2"/>
  <c r="D14" i="2" s="1"/>
  <c r="B13" i="2"/>
  <c r="B14" i="2" s="1"/>
  <c r="F10" i="2"/>
  <c r="C10" i="2"/>
  <c r="J2" i="2" l="1"/>
  <c r="J3" i="2"/>
  <c r="J4" i="2"/>
</calcChain>
</file>

<file path=xl/sharedStrings.xml><?xml version="1.0" encoding="utf-8"?>
<sst xmlns="http://schemas.openxmlformats.org/spreadsheetml/2006/main" count="95" uniqueCount="68">
  <si>
    <t>1 Month</t>
  </si>
  <si>
    <t>2 Month</t>
  </si>
  <si>
    <t>3 Month</t>
  </si>
  <si>
    <t>4 Month</t>
  </si>
  <si>
    <t>5 Month</t>
  </si>
  <si>
    <t>6 Month</t>
  </si>
  <si>
    <t>Small</t>
  </si>
  <si>
    <t>Dental</t>
  </si>
  <si>
    <t>Prescription</t>
  </si>
  <si>
    <t>Healthcare Appt</t>
  </si>
  <si>
    <t>Medium</t>
  </si>
  <si>
    <t>Large</t>
  </si>
  <si>
    <t>Company Size</t>
  </si>
  <si>
    <t>Claim Type</t>
  </si>
  <si>
    <t>EXAMPLE1</t>
  </si>
  <si>
    <t>EXAMPLE2</t>
  </si>
  <si>
    <t>EXAMPLE3</t>
  </si>
  <si>
    <t xml:space="preserve">Employee Count </t>
  </si>
  <si>
    <t>Ultimate claim cost</t>
  </si>
  <si>
    <t>IBNR Reserve by year</t>
  </si>
  <si>
    <t>IBNR Reserve</t>
  </si>
  <si>
    <t>Company #</t>
  </si>
  <si>
    <t>Type</t>
  </si>
  <si>
    <t>Jan 2020</t>
  </si>
  <si>
    <t>Feb 2020</t>
  </si>
  <si>
    <t>Mar 2020</t>
  </si>
  <si>
    <t>Apr 2020</t>
  </si>
  <si>
    <t>May 2020</t>
  </si>
  <si>
    <t>June 2020</t>
  </si>
  <si>
    <t>Company 1</t>
  </si>
  <si>
    <t>Company 2</t>
  </si>
  <si>
    <t>Company 3</t>
  </si>
  <si>
    <t>Company 4</t>
  </si>
  <si>
    <t>Company 5</t>
  </si>
  <si>
    <t>Company 6</t>
  </si>
  <si>
    <t>Company 7</t>
  </si>
  <si>
    <t>Company 8</t>
  </si>
  <si>
    <t>Company 9</t>
  </si>
  <si>
    <t>Company 10</t>
  </si>
  <si>
    <t>Company 11</t>
  </si>
  <si>
    <t>Company 12</t>
  </si>
  <si>
    <t>Company 13</t>
  </si>
  <si>
    <t>Company 14</t>
  </si>
  <si>
    <t>Company 15</t>
  </si>
  <si>
    <t>Company 16</t>
  </si>
  <si>
    <t>Company 17</t>
  </si>
  <si>
    <t>Company 18</t>
  </si>
  <si>
    <t>Company 19</t>
  </si>
  <si>
    <t>Company 20</t>
  </si>
  <si>
    <t>Company 21</t>
  </si>
  <si>
    <t>Company 22</t>
  </si>
  <si>
    <t>Company 23</t>
  </si>
  <si>
    <t>Company 24</t>
  </si>
  <si>
    <t>Company 25</t>
  </si>
  <si>
    <t>Company 26</t>
  </si>
  <si>
    <t>Company 27</t>
  </si>
  <si>
    <t>Company 28</t>
  </si>
  <si>
    <t>Company 29</t>
  </si>
  <si>
    <t>Company 30</t>
  </si>
  <si>
    <t>IBNR reserve</t>
  </si>
  <si>
    <t>Sum of IBNR reserve</t>
  </si>
  <si>
    <t>Prop_Jan 2020</t>
  </si>
  <si>
    <t>Prop_Feb 2020</t>
  </si>
  <si>
    <t>Prop_Mar 2020</t>
  </si>
  <si>
    <t>Prop_Apr 2020</t>
  </si>
  <si>
    <t>Prop_May 2020</t>
  </si>
  <si>
    <t>Prop_June 2020</t>
  </si>
  <si>
    <t>Prop_coverage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</si>
</sst>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;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* #,##0_-;\-* #,##0_-;_-* &quot;-&quot;??_-;_-@_-"/>
    <numFmt numFmtId="165" formatCode="_(* #,##0_);_(* \(#,##0\);_(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5F1F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5C7E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27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2" xfId="0" applyBorder="1"/>
    <xf numFmtId="0" fontId="0" fillId="0" borderId="1" xfId="0" applyBorder="1"/>
    <xf numFmtId="0" fontId="0" fillId="0" borderId="3" xfId="0" applyBorder="1"/>
    <xf numFmtId="0" fontId="1" fillId="0" borderId="0" xfId="0" applyFont="1"/>
    <xf numFmtId="0" fontId="0" fillId="5" borderId="0" xfId="0" applyFill="1"/>
    <xf numFmtId="44" fontId="0" fillId="4" borderId="1" xfId="2" applyFont="1" applyFill="1" applyBorder="1"/>
    <xf numFmtId="17" fontId="3" fillId="3" borderId="0" xfId="0" applyNumberFormat="1" applyFont="1" applyFill="1"/>
    <xf numFmtId="0" fontId="3" fillId="3" borderId="0" xfId="0" applyFont="1" applyFill="1"/>
    <xf numFmtId="0" fontId="1" fillId="6" borderId="0" xfId="0" applyFont="1" applyFill="1"/>
    <xf numFmtId="0" fontId="1" fillId="6" borderId="0" xfId="0" quotePrefix="1" applyFont="1" applyFill="1"/>
    <xf numFmtId="17" fontId="1" fillId="6" borderId="0" xfId="0" quotePrefix="1" applyNumberFormat="1" applyFont="1" applyFill="1"/>
    <xf numFmtId="164" fontId="0" fillId="0" borderId="0" xfId="1" applyNumberFormat="1" applyFont="1" applyBorder="1"/>
    <xf numFmtId="164" fontId="0" fillId="0" borderId="0" xfId="1" applyNumberFormat="1" applyFont="1"/>
    <xf numFmtId="165" fontId="0" fillId="0" borderId="0" xfId="1" applyNumberFormat="1" applyFont="1" applyFill="1" applyBorder="1"/>
    <xf numFmtId="164" fontId="0" fillId="0" borderId="0" xfId="0" applyNumberFormat="1"/>
    <xf numFmtId="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4" xfId="0" applyBorder="1"/>
    <xf numFmtId="0" fontId="0" fillId="5" borderId="1" xfId="0" applyFill="1" applyBorder="1"/>
    <xf numFmtId="0" fontId="4" fillId="7" borderId="1" xfId="0" applyFont="1" applyFill="1" applyBorder="1"/>
    <xf numFmtId="0" fontId="0" fillId="8" borderId="0" xfId="0" applyFill="1"/>
    <xf numFmtId="7" fontId="0" fillId="7" borderId="0" xfId="0" applyNumberFormat="1" applyFill="1"/>
    <xf numFmtId="0" fontId="0" fillId="9" borderId="1" xfId="0" applyFill="1" applyBorder="1"/>
  </cellXfs>
  <cellStyles count="3">
    <cellStyle name="Comma" xfId="1" builtinId="3"/>
    <cellStyle name="Currency" xfId="2" builtinId="4"/>
    <cellStyle name="Normal" xfId="0" builtinId="0"/>
  </cellStyles>
  <dxfs count="228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4" formatCode="0.00%"/>
    </dxf>
    <dxf>
      <numFmt numFmtId="14" formatCode="0.0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91440</xdr:colOff>
      <xdr:row>6</xdr:row>
      <xdr:rowOff>0</xdr:rowOff>
    </xdr:from>
    <xdr:to>
      <xdr:col>14</xdr:col>
      <xdr:colOff>381000</xdr:colOff>
      <xdr:row>8</xdr:row>
      <xdr:rowOff>53340</xdr:rowOff>
    </xdr:to>
    <xdr:sp macro="[0]!IBNR.IBN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015A122-552E-BBAD-C32F-AD6755385BA8}"/>
            </a:ext>
          </a:extLst>
        </xdr:cNvPr>
        <xdr:cNvSpPr/>
      </xdr:nvSpPr>
      <xdr:spPr>
        <a:xfrm>
          <a:off x="7970520" y="1097280"/>
          <a:ext cx="150876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/>
            <a:t>IBNR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youmssi Junior" refreshedDate="46303.525216087961" createdVersion="8" refreshedVersion="8" minRefreshableVersion="3" recordCount="30" xr:uid="{1B75F144-03D8-42E2-BE6E-26146CBA03BA}">
  <cacheSource type="worksheet">
    <worksheetSource ref="A1:J31" sheet="Companies"/>
  </cacheSource>
  <cacheFields count="10">
    <cacheField name="Company #" numFmtId="0">
      <sharedItems/>
    </cacheField>
    <cacheField name="Type" numFmtId="0">
      <sharedItems containsSemiMixedTypes="0" containsString="0" containsNumber="1" containsInteger="1" minValue="1" maxValue="3" count="3">
        <n v="3"/>
        <n v="2"/>
        <n v="1"/>
      </sharedItems>
    </cacheField>
    <cacheField name="Company Size" numFmtId="0">
      <sharedItems containsSemiMixedTypes="0" containsString="0" containsNumber="1" containsInteger="1" minValue="90" maxValue="9983"/>
    </cacheField>
    <cacheField name="Jan 2020" numFmtId="0">
      <sharedItems containsSemiMixedTypes="0" containsString="0" containsNumber="1" containsInteger="1" minValue="14521" maxValue="92953" count="30">
        <n v="72019"/>
        <n v="92953"/>
        <n v="14521"/>
        <n v="72034"/>
        <n v="72039"/>
        <n v="72044"/>
        <n v="72049"/>
        <n v="72054"/>
        <n v="72059"/>
        <n v="72064"/>
        <n v="72069"/>
        <n v="72074"/>
        <n v="72079"/>
        <n v="72084"/>
        <n v="72089"/>
        <n v="72094"/>
        <n v="72099"/>
        <n v="72104"/>
        <n v="72109"/>
        <n v="72114"/>
        <n v="72119"/>
        <n v="72124"/>
        <n v="72129"/>
        <n v="72134"/>
        <n v="72139"/>
        <n v="72144"/>
        <n v="72149"/>
        <n v="72154"/>
        <n v="72159"/>
        <n v="72164"/>
      </sharedItems>
    </cacheField>
    <cacheField name="Feb 2020" numFmtId="0">
      <sharedItems containsSemiMixedTypes="0" containsString="0" containsNumber="1" containsInteger="1" minValue="12986" maxValue="82345" count="30">
        <n v="65292"/>
        <n v="82345"/>
        <n v="12986"/>
        <n v="65307"/>
        <n v="65312"/>
        <n v="65317"/>
        <n v="65322"/>
        <n v="65327"/>
        <n v="65332"/>
        <n v="65337"/>
        <n v="65342"/>
        <n v="65347"/>
        <n v="65352"/>
        <n v="65357"/>
        <n v="65362"/>
        <n v="65367"/>
        <n v="65372"/>
        <n v="65377"/>
        <n v="65382"/>
        <n v="65387"/>
        <n v="65392"/>
        <n v="65397"/>
        <n v="65402"/>
        <n v="65407"/>
        <n v="65412"/>
        <n v="65417"/>
        <n v="65422"/>
        <n v="65427"/>
        <n v="65432"/>
        <n v="65437"/>
      </sharedItems>
    </cacheField>
    <cacheField name="Mar 2020" numFmtId="0">
      <sharedItems containsSemiMixedTypes="0" containsString="0" containsNumber="1" containsInteger="1" minValue="10489" maxValue="79845" count="30">
        <n v="62291"/>
        <n v="79845"/>
        <n v="10489"/>
        <n v="62306"/>
        <n v="62311"/>
        <n v="62316"/>
        <n v="62321"/>
        <n v="62326"/>
        <n v="62331"/>
        <n v="62336"/>
        <n v="62341"/>
        <n v="62346"/>
        <n v="62351"/>
        <n v="62356"/>
        <n v="62361"/>
        <n v="62366"/>
        <n v="62371"/>
        <n v="62376"/>
        <n v="62381"/>
        <n v="62386"/>
        <n v="62391"/>
        <n v="62396"/>
        <n v="62401"/>
        <n v="62406"/>
        <n v="62411"/>
        <n v="62416"/>
        <n v="62421"/>
        <n v="62426"/>
        <n v="62431"/>
        <n v="62436"/>
      </sharedItems>
    </cacheField>
    <cacheField name="Apr 2020" numFmtId="0">
      <sharedItems containsSemiMixedTypes="0" containsString="0" containsNumber="1" containsInteger="1" minValue="6034" maxValue="61567" count="30">
        <n v="52439"/>
        <n v="61567"/>
        <n v="6034"/>
        <n v="52454"/>
        <n v="52459"/>
        <n v="52464"/>
        <n v="52469"/>
        <n v="52474"/>
        <n v="52479"/>
        <n v="52484"/>
        <n v="52489"/>
        <n v="52494"/>
        <n v="52499"/>
        <n v="52504"/>
        <n v="52509"/>
        <n v="52514"/>
        <n v="52519"/>
        <n v="52524"/>
        <n v="52529"/>
        <n v="52534"/>
        <n v="52539"/>
        <n v="52544"/>
        <n v="52549"/>
        <n v="52554"/>
        <n v="52559"/>
        <n v="52564"/>
        <n v="52569"/>
        <n v="52574"/>
        <n v="52579"/>
        <n v="52584"/>
      </sharedItems>
    </cacheField>
    <cacheField name="May 2020" numFmtId="0">
      <sharedItems containsSemiMixedTypes="0" containsString="0" containsNumber="1" containsInteger="1" minValue="4095" maxValue="50346" count="30">
        <n v="40000"/>
        <n v="50346"/>
        <n v="4095"/>
        <n v="40015"/>
        <n v="40020"/>
        <n v="40025"/>
        <n v="40030"/>
        <n v="40035"/>
        <n v="40040"/>
        <n v="40045"/>
        <n v="40050"/>
        <n v="40055"/>
        <n v="40060"/>
        <n v="40065"/>
        <n v="40070"/>
        <n v="40075"/>
        <n v="40080"/>
        <n v="40085"/>
        <n v="40090"/>
        <n v="40095"/>
        <n v="40100"/>
        <n v="40105"/>
        <n v="40110"/>
        <n v="40115"/>
        <n v="40120"/>
        <n v="40125"/>
        <n v="40130"/>
        <n v="40135"/>
        <n v="40140"/>
        <n v="40145"/>
      </sharedItems>
    </cacheField>
    <cacheField name="June 2020" numFmtId="164">
      <sharedItems containsSemiMixedTypes="0" containsString="0" containsNumber="1" containsInteger="1" minValue="15000" maxValue="15145" count="30">
        <n v="15000"/>
        <n v="15005"/>
        <n v="15010"/>
        <n v="15015"/>
        <n v="15020"/>
        <n v="15025"/>
        <n v="15030"/>
        <n v="15035"/>
        <n v="15040"/>
        <n v="15045"/>
        <n v="15050"/>
        <n v="15055"/>
        <n v="15060"/>
        <n v="15065"/>
        <n v="15070"/>
        <n v="15075"/>
        <n v="15080"/>
        <n v="15085"/>
        <n v="15090"/>
        <n v="15095"/>
        <n v="15100"/>
        <n v="15105"/>
        <n v="15110"/>
        <n v="15115"/>
        <n v="15120"/>
        <n v="15125"/>
        <n v="15130"/>
        <n v="15135"/>
        <n v="15140"/>
        <n v="15145"/>
      </sharedItems>
    </cacheField>
    <cacheField name="IBNR reserve" numFmtId="7">
      <sharedItems containsSemiMixedTypes="0" containsString="0" containsNumber="1" minValue="26752.23" maxValue="71060.850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s v="Company 1"/>
    <x v="0"/>
    <n v="621"/>
    <x v="0"/>
    <x v="0"/>
    <x v="0"/>
    <x v="0"/>
    <x v="0"/>
    <x v="0"/>
    <n v="54691.519999999997"/>
  </r>
  <r>
    <s v="Company 2"/>
    <x v="1"/>
    <n v="9172"/>
    <x v="1"/>
    <x v="1"/>
    <x v="1"/>
    <x v="1"/>
    <x v="1"/>
    <x v="1"/>
    <n v="41275.39"/>
  </r>
  <r>
    <s v="Company 3"/>
    <x v="0"/>
    <n v="6823"/>
    <x v="2"/>
    <x v="2"/>
    <x v="2"/>
    <x v="2"/>
    <x v="2"/>
    <x v="2"/>
    <n v="26752.23"/>
  </r>
  <r>
    <s v="Company 4"/>
    <x v="1"/>
    <n v="9204"/>
    <x v="3"/>
    <x v="3"/>
    <x v="3"/>
    <x v="3"/>
    <x v="3"/>
    <x v="3"/>
    <n v="36848.550000000003"/>
  </r>
  <r>
    <s v="Company 5"/>
    <x v="2"/>
    <n v="5852"/>
    <x v="4"/>
    <x v="4"/>
    <x v="4"/>
    <x v="4"/>
    <x v="4"/>
    <x v="4"/>
    <n v="47165.61"/>
  </r>
  <r>
    <s v="Company 6"/>
    <x v="1"/>
    <n v="3194"/>
    <x v="5"/>
    <x v="5"/>
    <x v="5"/>
    <x v="5"/>
    <x v="5"/>
    <x v="5"/>
    <n v="70777.8"/>
  </r>
  <r>
    <s v="Company 7"/>
    <x v="1"/>
    <n v="7741"/>
    <x v="6"/>
    <x v="6"/>
    <x v="6"/>
    <x v="6"/>
    <x v="6"/>
    <x v="6"/>
    <n v="36873.040000000001"/>
  </r>
  <r>
    <s v="Company 8"/>
    <x v="2"/>
    <n v="6939"/>
    <x v="7"/>
    <x v="7"/>
    <x v="7"/>
    <x v="7"/>
    <x v="7"/>
    <x v="7"/>
    <n v="47198.06"/>
  </r>
  <r>
    <s v="Company 9"/>
    <x v="0"/>
    <n v="9983"/>
    <x v="8"/>
    <x v="8"/>
    <x v="8"/>
    <x v="8"/>
    <x v="8"/>
    <x v="8"/>
    <n v="50337.34"/>
  </r>
  <r>
    <s v="Company 10"/>
    <x v="1"/>
    <n v="7770"/>
    <x v="9"/>
    <x v="9"/>
    <x v="9"/>
    <x v="9"/>
    <x v="9"/>
    <x v="9"/>
    <n v="36897.54"/>
  </r>
  <r>
    <s v="Company 11"/>
    <x v="2"/>
    <n v="6290"/>
    <x v="10"/>
    <x v="10"/>
    <x v="10"/>
    <x v="10"/>
    <x v="10"/>
    <x v="10"/>
    <n v="47230.51"/>
  </r>
  <r>
    <s v="Company 12"/>
    <x v="2"/>
    <n v="4455"/>
    <x v="11"/>
    <x v="11"/>
    <x v="11"/>
    <x v="11"/>
    <x v="11"/>
    <x v="11"/>
    <n v="61142.71"/>
  </r>
  <r>
    <s v="Company 13"/>
    <x v="1"/>
    <n v="3530"/>
    <x v="12"/>
    <x v="12"/>
    <x v="12"/>
    <x v="12"/>
    <x v="12"/>
    <x v="12"/>
    <n v="70867.86"/>
  </r>
  <r>
    <s v="Company 14"/>
    <x v="2"/>
    <n v="6658"/>
    <x v="13"/>
    <x v="13"/>
    <x v="13"/>
    <x v="13"/>
    <x v="13"/>
    <x v="13"/>
    <n v="47262.97"/>
  </r>
  <r>
    <s v="Company 15"/>
    <x v="1"/>
    <n v="90"/>
    <x v="14"/>
    <x v="14"/>
    <x v="14"/>
    <x v="14"/>
    <x v="14"/>
    <x v="14"/>
    <n v="56364.44"/>
  </r>
  <r>
    <s v="Company 16"/>
    <x v="1"/>
    <n v="2381"/>
    <x v="15"/>
    <x v="15"/>
    <x v="15"/>
    <x v="15"/>
    <x v="15"/>
    <x v="15"/>
    <n v="70906.460000000006"/>
  </r>
  <r>
    <s v="Company 17"/>
    <x v="2"/>
    <n v="7925"/>
    <x v="16"/>
    <x v="16"/>
    <x v="16"/>
    <x v="16"/>
    <x v="16"/>
    <x v="16"/>
    <n v="47295.42"/>
  </r>
  <r>
    <s v="Company 18"/>
    <x v="0"/>
    <n v="3905"/>
    <x v="17"/>
    <x v="17"/>
    <x v="17"/>
    <x v="17"/>
    <x v="17"/>
    <x v="17"/>
    <n v="54869.09"/>
  </r>
  <r>
    <s v="Company 19"/>
    <x v="1"/>
    <n v="8573"/>
    <x v="18"/>
    <x v="18"/>
    <x v="18"/>
    <x v="18"/>
    <x v="18"/>
    <x v="18"/>
    <n v="36971.03"/>
  </r>
  <r>
    <s v="Company 20"/>
    <x v="2"/>
    <n v="8943"/>
    <x v="19"/>
    <x v="19"/>
    <x v="19"/>
    <x v="19"/>
    <x v="19"/>
    <x v="19"/>
    <n v="47327.87"/>
  </r>
  <r>
    <s v="Company 21"/>
    <x v="1"/>
    <n v="718"/>
    <x v="20"/>
    <x v="20"/>
    <x v="20"/>
    <x v="20"/>
    <x v="20"/>
    <x v="20"/>
    <n v="70970.789999999994"/>
  </r>
  <r>
    <s v="Company 22"/>
    <x v="0"/>
    <n v="1906"/>
    <x v="21"/>
    <x v="21"/>
    <x v="21"/>
    <x v="21"/>
    <x v="21"/>
    <x v="21"/>
    <n v="54910.87"/>
  </r>
  <r>
    <s v="Company 23"/>
    <x v="2"/>
    <n v="6244"/>
    <x v="22"/>
    <x v="22"/>
    <x v="22"/>
    <x v="22"/>
    <x v="22"/>
    <x v="22"/>
    <n v="47360.32"/>
  </r>
  <r>
    <s v="Company 24"/>
    <x v="2"/>
    <n v="4194"/>
    <x v="23"/>
    <x v="23"/>
    <x v="23"/>
    <x v="23"/>
    <x v="23"/>
    <x v="23"/>
    <n v="61277"/>
  </r>
  <r>
    <s v="Company 25"/>
    <x v="2"/>
    <n v="6695"/>
    <x v="24"/>
    <x v="24"/>
    <x v="24"/>
    <x v="24"/>
    <x v="24"/>
    <x v="24"/>
    <n v="47381.96"/>
  </r>
  <r>
    <s v="Company 26"/>
    <x v="1"/>
    <n v="7077"/>
    <x v="25"/>
    <x v="25"/>
    <x v="25"/>
    <x v="25"/>
    <x v="25"/>
    <x v="25"/>
    <n v="37028.19"/>
  </r>
  <r>
    <s v="Company 27"/>
    <x v="2"/>
    <n v="7020"/>
    <x v="26"/>
    <x v="26"/>
    <x v="26"/>
    <x v="26"/>
    <x v="26"/>
    <x v="26"/>
    <n v="47403.59"/>
  </r>
  <r>
    <s v="Company 28"/>
    <x v="1"/>
    <n v="3233"/>
    <x v="27"/>
    <x v="27"/>
    <x v="27"/>
    <x v="27"/>
    <x v="27"/>
    <x v="27"/>
    <n v="71060.850000000006"/>
  </r>
  <r>
    <s v="Company 29"/>
    <x v="1"/>
    <n v="8025"/>
    <x v="28"/>
    <x v="28"/>
    <x v="28"/>
    <x v="28"/>
    <x v="28"/>
    <x v="28"/>
    <n v="37052.69"/>
  </r>
  <r>
    <s v="Company 30"/>
    <x v="1"/>
    <n v="5713"/>
    <x v="29"/>
    <x v="29"/>
    <x v="29"/>
    <x v="29"/>
    <x v="29"/>
    <x v="29"/>
    <n v="37060.8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E7833E-867C-4412-BC49-1F8862211125}" name="PivotTable8" cacheId="6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L30" firstHeaderRow="0" firstDataRow="0" firstDataCol="0"/>
  <pivotFields count="10">
    <pivotField showAll="0"/>
    <pivotField axis="axisRow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numFmtId="164" showAll="0"/>
    <pivotField numFmtId="7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Jan 2020" fld="3" showDataAs="percentOfCol" baseField="1" baseItem="0" numFmtId="10"/>
    <dataField name="Sum of Feb 2020" fld="4" baseField="0" baseItem="0"/>
    <dataField name="Sum of Mar 2020" fld="5" baseField="0" baseItem="0"/>
    <dataField name="Sum of Apr 2020" fld="6" baseField="0" baseItem="0"/>
    <dataField name="Sum of May 2020" fld="7" baseField="0" baseItem="0"/>
    <dataField name="Sum of June 2020" fld="8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B78105-201D-4365-8A8D-7E1D5453A52E}" name="PivotTable3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Claim Type">
  <location ref="L25:R28" firstHeaderRow="0" firstDataRow="1" firstDataCol="1"/>
  <pivotFields count="10">
    <pivotField showAll="0"/>
    <pivotField axis="axisRow" showAll="0">
      <items count="4">
        <item x="2"/>
        <item x="1"/>
        <item x="0"/>
        <item t="default"/>
      </items>
    </pivotField>
    <pivotField showAll="0"/>
    <pivotField dataField="1" showAll="0">
      <items count="31">
        <item x="2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"/>
        <item t="default"/>
      </items>
    </pivotField>
    <pivotField dataField="1" showAll="0">
      <items count="31">
        <item x="2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"/>
        <item t="default"/>
      </items>
    </pivotField>
    <pivotField dataField="1" showAll="0">
      <items count="31">
        <item x="2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"/>
        <item t="default"/>
      </items>
    </pivotField>
    <pivotField dataField="1" showAll="0">
      <items count="31">
        <item x="2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"/>
        <item t="default"/>
      </items>
    </pivotField>
    <pivotField dataField="1" showAll="0">
      <items count="31">
        <item x="2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"/>
        <item t="default"/>
      </items>
    </pivotField>
    <pivotField dataField="1" numFmtId="164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numFmtId="7" showAll="0"/>
  </pivotFields>
  <rowFields count="1">
    <field x="1"/>
  </rowFields>
  <rowItems count="3">
    <i>
      <x/>
    </i>
    <i>
      <x v="1"/>
    </i>
    <i>
      <x v="2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Prop_Jan 2020" fld="3" showDataAs="percentOfCol" baseField="1" baseItem="0" numFmtId="10"/>
    <dataField name="Prop_Feb 2020" fld="4" showDataAs="percentOfCol" baseField="1" baseItem="0" numFmtId="10"/>
    <dataField name="Prop_Mar 2020" fld="5" showDataAs="percentOfCol" baseField="1" baseItem="0" numFmtId="10"/>
    <dataField name="Prop_Apr 2020" fld="6" showDataAs="percentOfCol" baseField="1" baseItem="0" numFmtId="10"/>
    <dataField name="Prop_May 2020" fld="7" showDataAs="percentOfCol" baseField="1" baseItem="0" numFmtId="10"/>
    <dataField name="Prop_June 2020" fld="8" showDataAs="percentOfCol" baseField="1" baseItem="0" numFmtId="10"/>
  </dataFields>
  <formats count="11">
    <format dxfId="227">
      <pivotArea collapsedLevelsAreSubtotals="1" fieldPosition="0">
        <references count="2">
          <reference field="4294967294" count="1" selected="0">
            <x v="0"/>
          </reference>
          <reference field="1" count="1">
            <x v="0"/>
          </reference>
        </references>
      </pivotArea>
    </format>
    <format dxfId="226">
      <pivotArea collapsedLevelsAreSubtotals="1" fieldPosition="0">
        <references count="2">
          <reference field="4294967294" count="1" selected="0">
            <x v="0"/>
          </reference>
          <reference field="1" count="1">
            <x v="1"/>
          </reference>
        </references>
      </pivotArea>
    </format>
    <format dxfId="225">
      <pivotArea collapsedLevelsAreSubtotals="1" fieldPosition="0">
        <references count="2">
          <reference field="4294967294" count="5" selected="0">
            <x v="1"/>
            <x v="2"/>
            <x v="3"/>
            <x v="4"/>
            <x v="5"/>
          </reference>
          <reference field="1" count="2">
            <x v="0"/>
            <x v="1"/>
          </reference>
        </references>
      </pivotArea>
    </format>
    <format dxfId="224">
      <pivotArea collapsedLevelsAreSubtotals="1" fieldPosition="0">
        <references count="2">
          <reference field="4294967294" count="5" selected="0">
            <x v="1"/>
            <x v="2"/>
            <x v="3"/>
            <x v="4"/>
            <x v="5"/>
          </reference>
          <reference field="1" count="1">
            <x v="2"/>
          </reference>
        </references>
      </pivotArea>
    </format>
    <format dxfId="223">
      <pivotArea outline="0" collapsedLevelsAreSubtotals="1" fieldPosition="0"/>
    </format>
    <format dxfId="217">
      <pivotArea outline="0" fieldPosition="0">
        <references count="1">
          <reference field="4294967294" count="1">
            <x v="0"/>
          </reference>
        </references>
      </pivotArea>
    </format>
    <format dxfId="210">
      <pivotArea outline="0" fieldPosition="0">
        <references count="1">
          <reference field="4294967294" count="1">
            <x v="1"/>
          </reference>
        </references>
      </pivotArea>
    </format>
    <format dxfId="202">
      <pivotArea outline="0" fieldPosition="0">
        <references count="1">
          <reference field="4294967294" count="1">
            <x v="2"/>
          </reference>
        </references>
      </pivotArea>
    </format>
    <format dxfId="153">
      <pivotArea outline="0" fieldPosition="0">
        <references count="1">
          <reference field="4294967294" count="1">
            <x v="3"/>
          </reference>
        </references>
      </pivotArea>
    </format>
    <format dxfId="143">
      <pivotArea outline="0" fieldPosition="0">
        <references count="1">
          <reference field="4294967294" count="1">
            <x v="4"/>
          </reference>
        </references>
      </pivotArea>
    </format>
    <format dxfId="132">
      <pivotArea outline="0" fieldPosition="0">
        <references count="1">
          <reference field="4294967294" count="1">
            <x v="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7E59B8-8F3A-43B9-9EFF-E64F5D6EA8D8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M12" firstHeaderRow="0" firstDataRow="0" firstDataCol="0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numFmtId="7"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A01AA-9D4B-4A4C-8D0C-0C4208B8BCF0}" name="PivotTable1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Claim Type">
  <location ref="M15:N18" firstHeaderRow="1" firstDataRow="1" firstDataCol="1"/>
  <pivotFields count="10"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numFmtId="7"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Prop_coverage types" fld="1" showDataAs="percentOfTota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4EAEE9-9CD3-4F08-AF16-771F784F9713}" name="PivotTable4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Claim Type">
  <location ref="M34:N37" firstHeaderRow="1" firstDataRow="1" firstDataCol="1"/>
  <pivotFields count="10"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dataField="1" numFmtId="7"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IBNR reserve" fld="9" baseField="0" baseItem="0" numFmtId="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BFF38-97B0-4ED4-B855-166D2D4EDB43}">
  <sheetPr codeName="Sheet2"/>
  <dimension ref="A1:J20"/>
  <sheetViews>
    <sheetView workbookViewId="0">
      <selection activeCell="H12" sqref="H12"/>
    </sheetView>
  </sheetViews>
  <sheetFormatPr defaultRowHeight="14.4" x14ac:dyDescent="0.3"/>
  <cols>
    <col min="1" max="1" width="18.5546875" bestFit="1" customWidth="1"/>
    <col min="2" max="2" width="6.33203125" bestFit="1" customWidth="1"/>
    <col min="3" max="3" width="6.5546875" bestFit="1" customWidth="1"/>
    <col min="8" max="8" width="14.88671875" bestFit="1" customWidth="1"/>
    <col min="9" max="9" width="14.21875" bestFit="1" customWidth="1"/>
    <col min="10" max="10" width="12" bestFit="1" customWidth="1"/>
    <col min="14" max="14" width="27" bestFit="1" customWidth="1"/>
  </cols>
  <sheetData>
    <row r="1" spans="1:10" x14ac:dyDescent="0.3">
      <c r="B1" s="8">
        <v>43831</v>
      </c>
      <c r="C1" s="8">
        <v>43862</v>
      </c>
      <c r="D1" s="8">
        <v>43891</v>
      </c>
      <c r="E1" s="8">
        <v>43922</v>
      </c>
      <c r="F1" s="8">
        <v>43952</v>
      </c>
      <c r="G1" s="8">
        <v>43983</v>
      </c>
      <c r="H1" s="9" t="s">
        <v>17</v>
      </c>
      <c r="I1" s="9" t="s">
        <v>13</v>
      </c>
      <c r="J1" s="23" t="s">
        <v>20</v>
      </c>
    </row>
    <row r="2" spans="1:10" x14ac:dyDescent="0.3">
      <c r="A2" s="5" t="s">
        <v>14</v>
      </c>
      <c r="B2">
        <v>72109</v>
      </c>
      <c r="C2">
        <v>65292</v>
      </c>
      <c r="D2">
        <v>62292</v>
      </c>
      <c r="E2">
        <v>52439</v>
      </c>
      <c r="F2">
        <v>40000</v>
      </c>
      <c r="G2">
        <v>15000</v>
      </c>
      <c r="H2" s="6">
        <v>143</v>
      </c>
      <c r="I2" s="22" t="s">
        <v>7</v>
      </c>
      <c r="J2" s="7">
        <f>SUM(B10:G10)</f>
        <v>61023.93607193177</v>
      </c>
    </row>
    <row r="3" spans="1:10" x14ac:dyDescent="0.3">
      <c r="A3" s="5" t="s">
        <v>15</v>
      </c>
      <c r="B3">
        <v>72164</v>
      </c>
      <c r="C3">
        <v>65437</v>
      </c>
      <c r="D3">
        <v>62436</v>
      </c>
      <c r="E3">
        <v>52584</v>
      </c>
      <c r="F3">
        <v>40145</v>
      </c>
      <c r="G3">
        <v>15145</v>
      </c>
      <c r="H3" s="6">
        <v>5713</v>
      </c>
      <c r="I3" s="22" t="s">
        <v>8</v>
      </c>
      <c r="J3" s="7">
        <f>SUM(B14:G14)</f>
        <v>37060.853468386056</v>
      </c>
    </row>
    <row r="4" spans="1:10" x14ac:dyDescent="0.3">
      <c r="A4" s="5" t="s">
        <v>16</v>
      </c>
      <c r="B4">
        <v>72124</v>
      </c>
      <c r="C4">
        <v>65397</v>
      </c>
      <c r="D4">
        <v>62396</v>
      </c>
      <c r="E4">
        <v>52544</v>
      </c>
      <c r="F4">
        <v>40105</v>
      </c>
      <c r="G4">
        <v>15105</v>
      </c>
      <c r="H4" s="6">
        <v>1906</v>
      </c>
      <c r="I4" s="22" t="s">
        <v>9</v>
      </c>
      <c r="J4" s="7">
        <f>SUM(B20:G20)</f>
        <v>54910.874468678208</v>
      </c>
    </row>
    <row r="8" spans="1:10" x14ac:dyDescent="0.3">
      <c r="A8" s="6" t="s">
        <v>7</v>
      </c>
    </row>
    <row r="9" spans="1:10" x14ac:dyDescent="0.3">
      <c r="A9" s="24" t="s">
        <v>18</v>
      </c>
      <c r="B9" s="26">
        <f>IF(AND($H$2&gt;=1,$H$2&lt;=100),Calculator!B2*VLOOKUP($I$2,Completion_Factors!$B$2:$H$4,7,FALSE),IF(AND($H$2&gt;=101,$H$2&lt;=5000),B2*VLOOKUP($I$2,Completion_Factors!$B$5:$H$7,7,FALSE),Calculator!B2*VLOOKUP($I$2,Completion_Factors!$B$8:$H$10,7,FALSE)))</f>
        <v>75493.801566087452</v>
      </c>
      <c r="C9" s="26">
        <f>IF(AND($H$2&gt;=1,$H$2&lt;=100),Calculator!C2*VLOOKUP($I$2,Completion_Factors!$B$2:$H$4,6,FALSE),IF(AND($H$2&gt;=101,$H$2&lt;=5000),C2*VLOOKUP($I$2,Completion_Factors!$B$5:$H$7,6,FALSE),Calculator!C2*VLOOKUP($I$2,Completion_Factors!$B$8:$H$10,6,FALSE)))</f>
        <v>70206.451612903227</v>
      </c>
      <c r="D9" s="26">
        <f>IF(AND($H$2&gt;=1,$H$2&lt;=100),Calculator!D2*VLOOKUP($I$2,Completion_Factors!$B$2:$H$4,5,FALSE),IF(AND($H$2&gt;=101,$H$2&lt;=5000),D2*VLOOKUP($I$2,Completion_Factors!$B$5:$H$7,5,FALSE),Calculator!D2*VLOOKUP($I$2,Completion_Factors!$B$8:$H$10,5,FALSE)))</f>
        <v>68452.747252747242</v>
      </c>
      <c r="E9" s="26">
        <f>IF(AND($H$2&gt;=1,$H$2&lt;=100),Calculator!E2*VLOOKUP($I$2,Completion_Factors!$B$2:$H$4,4,FALSE),IF(AND($H$2&gt;=101,$H$2&lt;=5000),E2*VLOOKUP($I$2,Completion_Factors!$B$5:$H$7,4,FALSE),Calculator!E2*VLOOKUP($I$2,Completion_Factors!$B$8:$H$10,4,FALSE)))</f>
        <v>60274.712643678169</v>
      </c>
      <c r="F9" s="26">
        <f>IF(AND($H$2&gt;=1,$H$2&lt;=100),Calculator!F2*VLOOKUP($I$2,Completion_Factors!$B$2:$H$4,3,FALSE),IF(AND($H$2&gt;=101,$H$2&lt;=5000),F2*VLOOKUP($I$2,Completion_Factors!$B$5:$H$7,3,FALSE),Calculator!F2*VLOOKUP($I$2,Completion_Factors!$B$8:$H$10,3,FALSE)))</f>
        <v>57142.857142857145</v>
      </c>
      <c r="G9" s="26">
        <f>IF(AND($H$2&gt;=1,$H$2&lt;=100),Calculator!G2*VLOOKUP($I$2,Completion_Factors!$B$2:$H$4,2,FALSE),IF(AND($H$2&gt;=101,$H$2&lt;=5000),G2*VLOOKUP($I$2,Completion_Factors!$B$5:$H$7,2,FALSE),Calculator!G2*VLOOKUP($I$2,Completion_Factors!$B$8:$H$10,2,FALSE)))</f>
        <v>36585.365853658535</v>
      </c>
    </row>
    <row r="10" spans="1:10" x14ac:dyDescent="0.3">
      <c r="A10" s="24" t="s">
        <v>19</v>
      </c>
      <c r="B10" s="26">
        <f>B9-B2</f>
        <v>3384.8015660874516</v>
      </c>
      <c r="C10" s="26">
        <f t="shared" ref="C10:D10" si="0">C9-C2</f>
        <v>4914.4516129032272</v>
      </c>
      <c r="D10" s="26">
        <f t="shared" si="0"/>
        <v>6160.7472527472419</v>
      </c>
      <c r="E10" s="26">
        <f t="shared" ref="E10" si="1">E9-E2</f>
        <v>7835.7126436781691</v>
      </c>
      <c r="F10" s="26">
        <f t="shared" ref="F10" si="2">F9-F2</f>
        <v>17142.857142857145</v>
      </c>
      <c r="G10" s="26">
        <f t="shared" ref="G10" si="3">G9-G2</f>
        <v>21585.365853658535</v>
      </c>
    </row>
    <row r="12" spans="1:10" x14ac:dyDescent="0.3">
      <c r="A12" s="6" t="s">
        <v>8</v>
      </c>
    </row>
    <row r="13" spans="1:10" x14ac:dyDescent="0.3">
      <c r="A13" s="24" t="s">
        <v>18</v>
      </c>
      <c r="B13" s="26">
        <f>IF(AND($H$3&gt;=1,$H$3&lt;=100),Calculator!B3*VLOOKUP($I$3,Completion_Factors!$B$2:$H$10,7,FALSE),IF(AND($H$3&gt;=101,$H$3&lt;=5000),B3*VLOOKUP($I$3,Completion_Factors!$B$5:$H$10,7,FALSE),Calculator!B3*VLOOKUP($I$3,Completion_Factors!$B$8:$H$10,7,FALSE)))</f>
        <v>72226.837348493194</v>
      </c>
      <c r="C13" s="26">
        <f>IF(AND($H$3&gt;=1,$H$3&lt;=100),Calculator!C3*VLOOKUP($I$3,Completion_Factors!$B$2:$H$10,6,FALSE),IF(AND($H$3&gt;=101,$H$3&lt;=5000),C3*VLOOKUP($I$3,Completion_Factors!$B$5:$H$10,6,FALSE),Calculator!C3*VLOOKUP($I$3,Completion_Factors!$B$8:$H$10,6,FALSE)))</f>
        <v>66097.979797979802</v>
      </c>
      <c r="D13" s="26">
        <f>IF(AND($H$3&gt;=1,$H$3&lt;=100),Calculator!D3*VLOOKUP($I$3,Completion_Factors!$B$2:$H$10,5,FALSE),IF(AND($H$3&gt;=101,$H$3&lt;=5000),D3*VLOOKUP($I$3,Completion_Factors!$B$5:$H$10,5,FALSE),Calculator!D3*VLOOKUP($I$3,Completion_Factors!$B$8:$H$10,5,FALSE)))</f>
        <v>64367.010309278361</v>
      </c>
      <c r="E13" s="26">
        <f>IF(AND($H$3&gt;=1,$H$3&lt;=100),Calculator!E3*VLOOKUP($I$3,Completion_Factors!$B$2:$H$10,4,FALSE),IF(AND($H$3&gt;=101,$H$3&lt;=5000),E3*VLOOKUP($I$3,Completion_Factors!$B$5:$H$10,4,FALSE),Calculator!E3*VLOOKUP($I$3,Completion_Factors!$B$8:$H$10,4,FALSE)))</f>
        <v>57156.521739130432</v>
      </c>
      <c r="F13" s="26">
        <f>IF(AND($H$3&gt;=1,$H$3&lt;=100),Calculator!F3*VLOOKUP($I$3,Completion_Factors!$B$2:$H$10,3,FALSE),IF(AND($H$3&gt;=101,$H$3&lt;=5000),F3*VLOOKUP($I$3,Completion_Factors!$B$5:$H$10,3,FALSE),Calculator!F3*VLOOKUP($I$3,Completion_Factors!$B$8:$H$10,3,FALSE)))</f>
        <v>51467.948717948711</v>
      </c>
      <c r="G13" s="26">
        <f>IF(AND($H$3&gt;=1,$H$3&lt;=100),Calculator!G3*VLOOKUP($I$3,Completion_Factors!$B$2:$H$10,2,FALSE),IF(AND($H$3&gt;=101,$H$3&lt;=5000),G3*VLOOKUP($I$3,Completion_Factors!$B$5:$H$10,2,FALSE),Calculator!G3*VLOOKUP($I$3,Completion_Factors!$B$8:$H$10,2,FALSE)))</f>
        <v>33655.555555555555</v>
      </c>
    </row>
    <row r="14" spans="1:10" x14ac:dyDescent="0.3">
      <c r="A14" s="24" t="s">
        <v>19</v>
      </c>
      <c r="B14" s="26">
        <f t="shared" ref="B14:G14" si="4">B13-B3</f>
        <v>62.83734849319444</v>
      </c>
      <c r="C14" s="26">
        <f t="shared" si="4"/>
        <v>660.97979797980224</v>
      </c>
      <c r="D14" s="26">
        <f t="shared" si="4"/>
        <v>1931.0103092783611</v>
      </c>
      <c r="E14" s="26">
        <f t="shared" si="4"/>
        <v>4572.5217391304323</v>
      </c>
      <c r="F14" s="26">
        <f t="shared" si="4"/>
        <v>11322.948717948711</v>
      </c>
      <c r="G14" s="26">
        <f t="shared" si="4"/>
        <v>18510.555555555555</v>
      </c>
    </row>
    <row r="18" spans="1:7" x14ac:dyDescent="0.3">
      <c r="A18" s="6" t="s">
        <v>9</v>
      </c>
    </row>
    <row r="19" spans="1:7" x14ac:dyDescent="0.3">
      <c r="A19" s="24" t="s">
        <v>18</v>
      </c>
      <c r="B19" s="26">
        <f>IF(AND($H$4&gt;=1,$H$4&lt;=100),Calculator!B4*VLOOKUP($I$4,Completion_Factors!$B$2:$H$10,7,FALSE),IF(AND($H$4&gt;=101,$H$4&lt;=5000),B4*VLOOKUP($I$4,Completion_Factors!$B$5:$H$10,7,FALSE),Calculator!B4*VLOOKUP($I$4,Completion_Factors!$B$8:$H$10,7,FALSE)))</f>
        <v>73029.566626164364</v>
      </c>
      <c r="C19" s="26">
        <f>IF(AND($H$4&gt;=1,$H$4&lt;=100),Calculator!C4*VLOOKUP($I$4,Completion_Factors!$B$2:$H$10,6,FALSE),IF(AND($H$4&gt;=101,$H$4&lt;=5000),C4*VLOOKUP($I$4,Completion_Factors!$B$5:$H$10,6,FALSE),Calculator!C4*VLOOKUP($I$4,Completion_Factors!$B$8:$H$10,6,FALSE)))</f>
        <v>69571.276595744683</v>
      </c>
      <c r="D19" s="26">
        <f>IF(AND($H$4&gt;=1,$H$4&lt;=100),Calculator!D4*VLOOKUP($I$4,Completion_Factors!$B$2:$H$10,5,FALSE),IF(AND($H$4&gt;=101,$H$4&lt;=5000),D4*VLOOKUP($I$4,Completion_Factors!$B$5:$H$10,5,FALSE),Calculator!D4*VLOOKUP($I$4,Completion_Factors!$B$8:$H$10,5,FALSE)))</f>
        <v>67821.739130434784</v>
      </c>
      <c r="E19" s="26">
        <f>IF(AND($H$4&gt;=1,$H$4&lt;=100),Calculator!E4*VLOOKUP($I$4,Completion_Factors!$B$2:$H$10,4,FALSE),IF(AND($H$4&gt;=101,$H$4&lt;=5000),E4*VLOOKUP($I$4,Completion_Factors!$B$5:$H$10,4,FALSE),Calculator!E4*VLOOKUP($I$4,Completion_Factors!$B$8:$H$10,4,FALSE)))</f>
        <v>59709.090909090912</v>
      </c>
      <c r="F19" s="26">
        <f>IF(AND($H$4&gt;=1,$H$4&lt;=100),Calculator!F4*VLOOKUP($I$4,Completion_Factors!$B$2:$H$10,3,FALSE),IF(AND($H$4&gt;=101,$H$4&lt;=5000),F4*VLOOKUP($I$4,Completion_Factors!$B$5:$H$10,3,FALSE),Calculator!F4*VLOOKUP($I$4,Completion_Factors!$B$8:$H$10,3,FALSE)))</f>
        <v>56485.915492957749</v>
      </c>
      <c r="G19" s="26">
        <f>IF(AND($H$4&gt;=1,$H$4&lt;=100),Calculator!G4*VLOOKUP($I$4,Completion_Factors!$B$2:$H$10,2,FALSE),IF(AND($H$4&gt;=101,$H$4&lt;=5000),G4*VLOOKUP($I$4,Completion_Factors!$B$5:$H$10,2,FALSE),Calculator!G4*VLOOKUP($I$4,Completion_Factors!$B$8:$H$10,2,FALSE)))</f>
        <v>35964.285714285717</v>
      </c>
    </row>
    <row r="20" spans="1:7" x14ac:dyDescent="0.3">
      <c r="A20" s="24" t="s">
        <v>19</v>
      </c>
      <c r="B20" s="26">
        <f t="shared" ref="B20:G20" si="5">B19-B4</f>
        <v>905.5666261643637</v>
      </c>
      <c r="C20" s="26">
        <f t="shared" si="5"/>
        <v>4174.2765957446827</v>
      </c>
      <c r="D20" s="26">
        <f t="shared" si="5"/>
        <v>5425.7391304347839</v>
      </c>
      <c r="E20" s="26">
        <f t="shared" si="5"/>
        <v>7165.0909090909117</v>
      </c>
      <c r="F20" s="26">
        <f t="shared" si="5"/>
        <v>16380.915492957749</v>
      </c>
      <c r="G20" s="26">
        <f t="shared" si="5"/>
        <v>20859.285714285717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F6E7A-E158-4010-B37F-E24CF097480F}">
  <sheetPr codeName="Sheet1"/>
  <dimension ref="A1:H10"/>
  <sheetViews>
    <sheetView workbookViewId="0">
      <selection activeCell="H4" sqref="H4"/>
    </sheetView>
  </sheetViews>
  <sheetFormatPr defaultRowHeight="14.4" x14ac:dyDescent="0.3"/>
  <cols>
    <col min="1" max="1" width="12.77734375" bestFit="1" customWidth="1"/>
    <col min="2" max="2" width="14.21875" bestFit="1" customWidth="1"/>
  </cols>
  <sheetData>
    <row r="1" spans="1:8" x14ac:dyDescent="0.3">
      <c r="A1" s="5" t="s">
        <v>12</v>
      </c>
      <c r="B1" s="5" t="s">
        <v>13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</row>
    <row r="2" spans="1:8" x14ac:dyDescent="0.3">
      <c r="A2" s="2" t="s">
        <v>6</v>
      </c>
      <c r="B2" s="2" t="s">
        <v>7</v>
      </c>
      <c r="C2" s="3">
        <v>2.32558139534884</v>
      </c>
      <c r="D2" s="3">
        <v>1.3888888888888888</v>
      </c>
      <c r="E2" s="3">
        <v>1.1235955056179776</v>
      </c>
      <c r="F2" s="3">
        <v>1.075268817204301</v>
      </c>
      <c r="G2" s="3">
        <v>1.0526315789473684</v>
      </c>
      <c r="H2" s="3">
        <v>1.025468</v>
      </c>
    </row>
    <row r="3" spans="1:8" x14ac:dyDescent="0.3">
      <c r="A3" t="s">
        <v>6</v>
      </c>
      <c r="B3" t="s">
        <v>8</v>
      </c>
      <c r="C3" s="3">
        <v>3.3333333333333335</v>
      </c>
      <c r="D3" s="3">
        <v>1.2048192771084338</v>
      </c>
      <c r="E3" s="3">
        <v>1.1363636363636365</v>
      </c>
      <c r="F3" s="3">
        <v>1.0526315789473684</v>
      </c>
      <c r="G3" s="3">
        <v>1.0256410256410258</v>
      </c>
      <c r="H3" s="3">
        <v>1.0121457489878543</v>
      </c>
    </row>
    <row r="4" spans="1:8" x14ac:dyDescent="0.3">
      <c r="A4" s="4" t="s">
        <v>6</v>
      </c>
      <c r="B4" s="4" t="s">
        <v>9</v>
      </c>
      <c r="C4" s="3">
        <v>3.9525691699604741</v>
      </c>
      <c r="D4" s="3">
        <v>1.5873015873015872</v>
      </c>
      <c r="E4" s="3">
        <v>1.2820512820512819</v>
      </c>
      <c r="F4" s="3">
        <v>1.0989010989010988</v>
      </c>
      <c r="G4" s="3">
        <v>1.0204081632653061</v>
      </c>
      <c r="H4" s="3">
        <v>1.0070493454179255</v>
      </c>
    </row>
    <row r="5" spans="1:8" x14ac:dyDescent="0.3">
      <c r="A5" s="2" t="s">
        <v>10</v>
      </c>
      <c r="B5" s="2" t="s">
        <v>7</v>
      </c>
      <c r="C5" s="3">
        <v>2.4390243902439024</v>
      </c>
      <c r="D5" s="3">
        <v>1.4285714285714286</v>
      </c>
      <c r="E5" s="3">
        <v>1.149425287356322</v>
      </c>
      <c r="F5" s="3">
        <v>1.0989010989010988</v>
      </c>
      <c r="G5" s="3">
        <v>1.075268817204301</v>
      </c>
      <c r="H5" s="3">
        <v>1.0469400708106817</v>
      </c>
    </row>
    <row r="6" spans="1:8" x14ac:dyDescent="0.3">
      <c r="A6" t="s">
        <v>10</v>
      </c>
      <c r="B6" t="s">
        <v>8</v>
      </c>
      <c r="C6" s="3">
        <v>2.6315789473684212</v>
      </c>
      <c r="D6" s="3">
        <v>1.4925373134328359</v>
      </c>
      <c r="E6" s="3">
        <v>1.1904761904761907</v>
      </c>
      <c r="F6" s="3">
        <v>1.1363636363636365</v>
      </c>
      <c r="G6" s="3">
        <v>1.1111111111111112</v>
      </c>
      <c r="H6" s="3">
        <v>1.0111223458038423</v>
      </c>
    </row>
    <row r="7" spans="1:8" x14ac:dyDescent="0.3">
      <c r="A7" s="4" t="s">
        <v>10</v>
      </c>
      <c r="B7" s="4" t="s">
        <v>9</v>
      </c>
      <c r="C7" s="3">
        <v>2.3809523809523809</v>
      </c>
      <c r="D7" s="3">
        <v>1.4084507042253522</v>
      </c>
      <c r="E7" s="3">
        <v>1.1363636363636365</v>
      </c>
      <c r="F7" s="3">
        <v>1.0869565217391304</v>
      </c>
      <c r="G7" s="3">
        <v>1.0638297872340425</v>
      </c>
      <c r="H7" s="3">
        <v>1.01255569056298</v>
      </c>
    </row>
    <row r="8" spans="1:8" x14ac:dyDescent="0.3">
      <c r="A8" s="2" t="s">
        <v>11</v>
      </c>
      <c r="B8" s="2" t="s">
        <v>7</v>
      </c>
      <c r="C8" s="3">
        <v>2.7027027027027026</v>
      </c>
      <c r="D8" s="3">
        <v>1.2820512820512819</v>
      </c>
      <c r="E8" s="3">
        <v>1.0989010989010988</v>
      </c>
      <c r="F8" s="3">
        <v>1.0460251046025104</v>
      </c>
      <c r="G8" s="3">
        <v>1.0277492291880781</v>
      </c>
      <c r="H8" s="3">
        <v>1.0060362173038229</v>
      </c>
    </row>
    <row r="9" spans="1:8" x14ac:dyDescent="0.3">
      <c r="A9" t="s">
        <v>11</v>
      </c>
      <c r="B9" t="s">
        <v>8</v>
      </c>
      <c r="C9" s="3">
        <v>2.2222222222222223</v>
      </c>
      <c r="D9" s="3">
        <v>1.2820512820512819</v>
      </c>
      <c r="E9" s="3">
        <v>1.0869565217391304</v>
      </c>
      <c r="F9" s="3">
        <v>1.0309278350515465</v>
      </c>
      <c r="G9" s="3">
        <v>1.0101010101010102</v>
      </c>
      <c r="H9" s="3">
        <v>1.0008707575590765</v>
      </c>
    </row>
    <row r="10" spans="1:8" x14ac:dyDescent="0.3">
      <c r="A10" s="4" t="s">
        <v>11</v>
      </c>
      <c r="B10" s="4" t="s">
        <v>9</v>
      </c>
      <c r="C10" s="3">
        <v>2.5641025641025639</v>
      </c>
      <c r="D10" s="3">
        <v>1.2987012987012987</v>
      </c>
      <c r="E10" s="3">
        <v>1.1709601873536299</v>
      </c>
      <c r="F10" s="3">
        <v>1.0787486515641855</v>
      </c>
      <c r="G10" s="3">
        <v>1.0097950116126426</v>
      </c>
      <c r="H10" s="3">
        <v>1.0046212577858149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B871A-B7B9-45F2-8378-11CB2A6129B9}">
  <sheetPr codeName="Sheet3"/>
  <dimension ref="A1:R37"/>
  <sheetViews>
    <sheetView tabSelected="1" topLeftCell="E13" workbookViewId="0">
      <selection activeCell="N15" sqref="N15"/>
    </sheetView>
  </sheetViews>
  <sheetFormatPr defaultRowHeight="14.4" x14ac:dyDescent="0.3"/>
  <cols>
    <col min="1" max="1" width="11.109375" bestFit="1" customWidth="1"/>
    <col min="3" max="3" width="12.77734375" bestFit="1" customWidth="1"/>
    <col min="4" max="4" width="8.21875" bestFit="1" customWidth="1"/>
    <col min="10" max="10" width="11.6640625" bestFit="1" customWidth="1"/>
    <col min="12" max="12" width="12.44140625" bestFit="1" customWidth="1"/>
    <col min="13" max="13" width="13.33203125" bestFit="1" customWidth="1"/>
    <col min="14" max="14" width="18.88671875" bestFit="1" customWidth="1"/>
    <col min="15" max="15" width="14" bestFit="1" customWidth="1"/>
    <col min="16" max="16" width="13.5546875" bestFit="1" customWidth="1"/>
    <col min="17" max="17" width="14.33203125" bestFit="1" customWidth="1"/>
    <col min="18" max="18" width="14.44140625" bestFit="1" customWidth="1"/>
    <col min="19" max="42" width="6" bestFit="1" customWidth="1"/>
    <col min="43" max="43" width="10.77734375" bestFit="1" customWidth="1"/>
    <col min="44" max="44" width="10.6640625" bestFit="1" customWidth="1"/>
    <col min="45" max="45" width="8" bestFit="1" customWidth="1"/>
    <col min="46" max="46" width="10.6640625" bestFit="1" customWidth="1"/>
    <col min="47" max="47" width="8" bestFit="1" customWidth="1"/>
    <col min="48" max="48" width="10.6640625" bestFit="1" customWidth="1"/>
    <col min="49" max="49" width="8" bestFit="1" customWidth="1"/>
    <col min="50" max="50" width="10.6640625" bestFit="1" customWidth="1"/>
    <col min="51" max="51" width="8" bestFit="1" customWidth="1"/>
    <col min="52" max="52" width="10.6640625" bestFit="1" customWidth="1"/>
    <col min="53" max="53" width="8" bestFit="1" customWidth="1"/>
    <col min="54" max="54" width="10.6640625" bestFit="1" customWidth="1"/>
    <col min="55" max="55" width="8" bestFit="1" customWidth="1"/>
    <col min="56" max="56" width="10.6640625" bestFit="1" customWidth="1"/>
    <col min="57" max="57" width="8" bestFit="1" customWidth="1"/>
    <col min="58" max="58" width="10.6640625" bestFit="1" customWidth="1"/>
    <col min="59" max="59" width="8" bestFit="1" customWidth="1"/>
    <col min="60" max="60" width="10.6640625" bestFit="1" customWidth="1"/>
    <col min="61" max="61" width="8" bestFit="1" customWidth="1"/>
    <col min="62" max="62" width="10.6640625" bestFit="1" customWidth="1"/>
    <col min="63" max="63" width="8" bestFit="1" customWidth="1"/>
    <col min="64" max="64" width="10.6640625" bestFit="1" customWidth="1"/>
    <col min="65" max="65" width="8" bestFit="1" customWidth="1"/>
    <col min="66" max="66" width="10.6640625" bestFit="1" customWidth="1"/>
    <col min="67" max="67" width="8" bestFit="1" customWidth="1"/>
    <col min="68" max="68" width="10.6640625" bestFit="1" customWidth="1"/>
    <col min="69" max="69" width="8" bestFit="1" customWidth="1"/>
    <col min="70" max="70" width="10.6640625" bestFit="1" customWidth="1"/>
    <col min="71" max="71" width="8" bestFit="1" customWidth="1"/>
    <col min="72" max="72" width="10.6640625" bestFit="1" customWidth="1"/>
    <col min="73" max="73" width="10.77734375" bestFit="1" customWidth="1"/>
    <col min="74" max="75" width="10.6640625" bestFit="1" customWidth="1"/>
    <col min="76" max="76" width="8" bestFit="1" customWidth="1"/>
    <col min="77" max="78" width="10.6640625" bestFit="1" customWidth="1"/>
    <col min="79" max="79" width="8" bestFit="1" customWidth="1"/>
    <col min="80" max="81" width="10.6640625" bestFit="1" customWidth="1"/>
    <col min="82" max="82" width="8" bestFit="1" customWidth="1"/>
    <col min="83" max="84" width="10.6640625" bestFit="1" customWidth="1"/>
    <col min="85" max="85" width="8" bestFit="1" customWidth="1"/>
    <col min="86" max="87" width="10.6640625" bestFit="1" customWidth="1"/>
    <col min="88" max="88" width="8" bestFit="1" customWidth="1"/>
    <col min="89" max="90" width="10.6640625" bestFit="1" customWidth="1"/>
    <col min="91" max="91" width="8" bestFit="1" customWidth="1"/>
    <col min="92" max="93" width="10.6640625" bestFit="1" customWidth="1"/>
    <col min="94" max="94" width="8" bestFit="1" customWidth="1"/>
    <col min="95" max="96" width="10.6640625" bestFit="1" customWidth="1"/>
    <col min="97" max="97" width="8" bestFit="1" customWidth="1"/>
    <col min="98" max="99" width="10.6640625" bestFit="1" customWidth="1"/>
    <col min="100" max="100" width="8" bestFit="1" customWidth="1"/>
    <col min="101" max="102" width="10.6640625" bestFit="1" customWidth="1"/>
    <col min="103" max="103" width="10.77734375" bestFit="1" customWidth="1"/>
    <col min="104" max="104" width="10.6640625" bestFit="1" customWidth="1"/>
    <col min="105" max="105" width="8" bestFit="1" customWidth="1"/>
    <col min="106" max="108" width="10.6640625" bestFit="1" customWidth="1"/>
    <col min="109" max="109" width="8" bestFit="1" customWidth="1"/>
    <col min="110" max="112" width="10.6640625" bestFit="1" customWidth="1"/>
    <col min="113" max="113" width="8" bestFit="1" customWidth="1"/>
    <col min="114" max="116" width="10.6640625" bestFit="1" customWidth="1"/>
    <col min="117" max="117" width="8" bestFit="1" customWidth="1"/>
    <col min="118" max="120" width="10.6640625" bestFit="1" customWidth="1"/>
    <col min="121" max="121" width="8" bestFit="1" customWidth="1"/>
    <col min="122" max="124" width="10.6640625" bestFit="1" customWidth="1"/>
    <col min="125" max="125" width="8" bestFit="1" customWidth="1"/>
    <col min="126" max="128" width="10.6640625" bestFit="1" customWidth="1"/>
    <col min="129" max="129" width="8" bestFit="1" customWidth="1"/>
    <col min="130" max="132" width="10.6640625" bestFit="1" customWidth="1"/>
    <col min="133" max="133" width="10.77734375" bestFit="1" customWidth="1"/>
    <col min="134" max="137" width="10.6640625" bestFit="1" customWidth="1"/>
    <col min="138" max="138" width="8" bestFit="1" customWidth="1"/>
    <col min="139" max="142" width="10.6640625" bestFit="1" customWidth="1"/>
    <col min="143" max="143" width="8" bestFit="1" customWidth="1"/>
    <col min="144" max="147" width="10.6640625" bestFit="1" customWidth="1"/>
    <col min="148" max="148" width="8" bestFit="1" customWidth="1"/>
    <col min="149" max="152" width="10.6640625" bestFit="1" customWidth="1"/>
    <col min="153" max="153" width="8" bestFit="1" customWidth="1"/>
    <col min="154" max="157" width="10.6640625" bestFit="1" customWidth="1"/>
    <col min="158" max="158" width="8" bestFit="1" customWidth="1"/>
    <col min="159" max="162" width="10.6640625" bestFit="1" customWidth="1"/>
    <col min="163" max="163" width="10.77734375" bestFit="1" customWidth="1"/>
    <col min="164" max="168" width="10.6640625" bestFit="1" customWidth="1"/>
    <col min="169" max="169" width="8" bestFit="1" customWidth="1"/>
    <col min="170" max="174" width="10.6640625" bestFit="1" customWidth="1"/>
    <col min="175" max="175" width="8" bestFit="1" customWidth="1"/>
    <col min="176" max="180" width="10.6640625" bestFit="1" customWidth="1"/>
    <col min="181" max="181" width="8" bestFit="1" customWidth="1"/>
    <col min="182" max="186" width="10.6640625" bestFit="1" customWidth="1"/>
    <col min="187" max="187" width="8" bestFit="1" customWidth="1"/>
    <col min="188" max="192" width="10.6640625" bestFit="1" customWidth="1"/>
    <col min="193" max="193" width="10.77734375" bestFit="1" customWidth="1"/>
  </cols>
  <sheetData>
    <row r="1" spans="1:14" x14ac:dyDescent="0.3">
      <c r="A1" s="10" t="s">
        <v>21</v>
      </c>
      <c r="B1" s="10" t="s">
        <v>22</v>
      </c>
      <c r="C1" s="10" t="s">
        <v>12</v>
      </c>
      <c r="D1" s="11" t="s">
        <v>23</v>
      </c>
      <c r="E1" s="11" t="s">
        <v>24</v>
      </c>
      <c r="F1" s="11" t="s">
        <v>25</v>
      </c>
      <c r="G1" s="11" t="s">
        <v>26</v>
      </c>
      <c r="H1" s="11" t="s">
        <v>27</v>
      </c>
      <c r="I1" s="12" t="s">
        <v>28</v>
      </c>
      <c r="J1" s="10" t="s">
        <v>59</v>
      </c>
    </row>
    <row r="2" spans="1:14" x14ac:dyDescent="0.3">
      <c r="A2" t="s">
        <v>29</v>
      </c>
      <c r="B2">
        <v>3</v>
      </c>
      <c r="C2">
        <v>621</v>
      </c>
      <c r="D2" s="13">
        <v>72019</v>
      </c>
      <c r="E2" s="13">
        <v>65292</v>
      </c>
      <c r="F2" s="13">
        <v>62291</v>
      </c>
      <c r="G2" s="13">
        <v>52439</v>
      </c>
      <c r="H2" s="13">
        <v>40000</v>
      </c>
      <c r="I2" s="14">
        <v>15000</v>
      </c>
      <c r="J2" s="25">
        <v>54691.519999999997</v>
      </c>
    </row>
    <row r="3" spans="1:14" x14ac:dyDescent="0.3">
      <c r="A3" t="s">
        <v>30</v>
      </c>
      <c r="B3">
        <v>2</v>
      </c>
      <c r="C3">
        <v>9172</v>
      </c>
      <c r="D3" s="15">
        <v>92953</v>
      </c>
      <c r="E3" s="15">
        <v>82345</v>
      </c>
      <c r="F3" s="15">
        <v>79845</v>
      </c>
      <c r="G3" s="15">
        <v>61567</v>
      </c>
      <c r="H3" s="15">
        <v>50346</v>
      </c>
      <c r="I3" s="16">
        <v>15005</v>
      </c>
      <c r="J3" s="25">
        <v>41275.39</v>
      </c>
    </row>
    <row r="4" spans="1:14" x14ac:dyDescent="0.3">
      <c r="A4" t="s">
        <v>31</v>
      </c>
      <c r="B4">
        <v>3</v>
      </c>
      <c r="C4">
        <v>6823</v>
      </c>
      <c r="D4" s="15">
        <v>14521</v>
      </c>
      <c r="E4" s="15">
        <v>12986</v>
      </c>
      <c r="F4" s="15">
        <v>10489</v>
      </c>
      <c r="G4" s="15">
        <v>6034</v>
      </c>
      <c r="H4" s="15">
        <v>4095</v>
      </c>
      <c r="I4" s="16">
        <v>15010</v>
      </c>
      <c r="J4" s="25">
        <v>26752.23</v>
      </c>
    </row>
    <row r="5" spans="1:14" x14ac:dyDescent="0.3">
      <c r="A5" t="s">
        <v>32</v>
      </c>
      <c r="B5">
        <v>2</v>
      </c>
      <c r="C5">
        <v>9204</v>
      </c>
      <c r="D5" s="16">
        <v>72034</v>
      </c>
      <c r="E5" s="16">
        <v>65307</v>
      </c>
      <c r="F5" s="16">
        <v>62306</v>
      </c>
      <c r="G5" s="16">
        <v>52454</v>
      </c>
      <c r="H5" s="16">
        <v>40015</v>
      </c>
      <c r="I5" s="16">
        <v>15015</v>
      </c>
      <c r="J5" s="25">
        <v>36848.550000000003</v>
      </c>
    </row>
    <row r="6" spans="1:14" x14ac:dyDescent="0.3">
      <c r="A6" t="s">
        <v>33</v>
      </c>
      <c r="B6">
        <v>1</v>
      </c>
      <c r="C6">
        <v>5852</v>
      </c>
      <c r="D6" s="16">
        <v>72039</v>
      </c>
      <c r="E6" s="16">
        <v>65312</v>
      </c>
      <c r="F6" s="16">
        <v>62311</v>
      </c>
      <c r="G6" s="16">
        <v>52459</v>
      </c>
      <c r="H6" s="16">
        <v>40020</v>
      </c>
      <c r="I6" s="16">
        <v>15020</v>
      </c>
      <c r="J6" s="25">
        <v>47165.61</v>
      </c>
    </row>
    <row r="7" spans="1:14" x14ac:dyDescent="0.3">
      <c r="A7" t="s">
        <v>34</v>
      </c>
      <c r="B7">
        <v>2</v>
      </c>
      <c r="C7">
        <v>3194</v>
      </c>
      <c r="D7" s="16">
        <v>72044</v>
      </c>
      <c r="E7" s="16">
        <v>65317</v>
      </c>
      <c r="F7" s="16">
        <v>62316</v>
      </c>
      <c r="G7" s="16">
        <v>52464</v>
      </c>
      <c r="H7" s="16">
        <v>40025</v>
      </c>
      <c r="I7" s="16">
        <v>15025</v>
      </c>
      <c r="J7" s="25">
        <v>70777.8</v>
      </c>
    </row>
    <row r="8" spans="1:14" x14ac:dyDescent="0.3">
      <c r="A8" t="s">
        <v>35</v>
      </c>
      <c r="B8">
        <v>2</v>
      </c>
      <c r="C8">
        <v>7741</v>
      </c>
      <c r="D8" s="16">
        <v>72049</v>
      </c>
      <c r="E8" s="16">
        <v>65322</v>
      </c>
      <c r="F8" s="16">
        <v>62321</v>
      </c>
      <c r="G8" s="16">
        <v>52469</v>
      </c>
      <c r="H8" s="16">
        <v>40030</v>
      </c>
      <c r="I8" s="16">
        <v>15030</v>
      </c>
      <c r="J8" s="25">
        <v>36873.040000000001</v>
      </c>
    </row>
    <row r="9" spans="1:14" x14ac:dyDescent="0.3">
      <c r="A9" t="s">
        <v>36</v>
      </c>
      <c r="B9">
        <v>1</v>
      </c>
      <c r="C9">
        <v>6939</v>
      </c>
      <c r="D9" s="16">
        <v>72054</v>
      </c>
      <c r="E9" s="16">
        <v>65327</v>
      </c>
      <c r="F9" s="16">
        <v>62326</v>
      </c>
      <c r="G9" s="16">
        <v>52474</v>
      </c>
      <c r="H9" s="16">
        <v>40035</v>
      </c>
      <c r="I9" s="16">
        <v>15035</v>
      </c>
      <c r="J9" s="25">
        <v>47198.06</v>
      </c>
    </row>
    <row r="10" spans="1:14" x14ac:dyDescent="0.3">
      <c r="A10" t="s">
        <v>37</v>
      </c>
      <c r="B10">
        <v>3</v>
      </c>
      <c r="C10">
        <v>9983</v>
      </c>
      <c r="D10" s="16">
        <v>72059</v>
      </c>
      <c r="E10" s="16">
        <v>65332</v>
      </c>
      <c r="F10" s="16">
        <v>62331</v>
      </c>
      <c r="G10" s="16">
        <v>52479</v>
      </c>
      <c r="H10" s="16">
        <v>40040</v>
      </c>
      <c r="I10" s="16">
        <v>15040</v>
      </c>
      <c r="J10" s="25">
        <v>50337.34</v>
      </c>
    </row>
    <row r="11" spans="1:14" x14ac:dyDescent="0.3">
      <c r="A11" t="s">
        <v>38</v>
      </c>
      <c r="B11">
        <v>2</v>
      </c>
      <c r="C11">
        <v>7770</v>
      </c>
      <c r="D11" s="16">
        <v>72064</v>
      </c>
      <c r="E11" s="16">
        <v>65337</v>
      </c>
      <c r="F11" s="16">
        <v>62336</v>
      </c>
      <c r="G11" s="16">
        <v>52484</v>
      </c>
      <c r="H11" s="16">
        <v>40045</v>
      </c>
      <c r="I11" s="16">
        <v>15045</v>
      </c>
      <c r="J11" s="25">
        <v>36897.54</v>
      </c>
    </row>
    <row r="12" spans="1:14" x14ac:dyDescent="0.3">
      <c r="A12" t="s">
        <v>39</v>
      </c>
      <c r="B12">
        <v>1</v>
      </c>
      <c r="C12">
        <v>6290</v>
      </c>
      <c r="D12" s="16">
        <v>72069</v>
      </c>
      <c r="E12" s="16">
        <v>65342</v>
      </c>
      <c r="F12" s="16">
        <v>62341</v>
      </c>
      <c r="G12" s="16">
        <v>52489</v>
      </c>
      <c r="H12" s="16">
        <v>40050</v>
      </c>
      <c r="I12" s="16">
        <v>15050</v>
      </c>
      <c r="J12" s="25">
        <v>47230.51</v>
      </c>
      <c r="M12" s="21"/>
    </row>
    <row r="13" spans="1:14" x14ac:dyDescent="0.3">
      <c r="A13" t="s">
        <v>40</v>
      </c>
      <c r="B13">
        <v>1</v>
      </c>
      <c r="C13">
        <v>4455</v>
      </c>
      <c r="D13" s="16">
        <v>72074</v>
      </c>
      <c r="E13" s="16">
        <v>65347</v>
      </c>
      <c r="F13" s="16">
        <v>62346</v>
      </c>
      <c r="G13" s="16">
        <v>52494</v>
      </c>
      <c r="H13" s="16">
        <v>40055</v>
      </c>
      <c r="I13" s="16">
        <v>15055</v>
      </c>
      <c r="J13" s="25">
        <v>61142.71</v>
      </c>
    </row>
    <row r="14" spans="1:14" x14ac:dyDescent="0.3">
      <c r="A14" t="s">
        <v>41</v>
      </c>
      <c r="B14">
        <v>2</v>
      </c>
      <c r="C14">
        <v>3530</v>
      </c>
      <c r="D14" s="16">
        <v>72079</v>
      </c>
      <c r="E14" s="16">
        <v>65352</v>
      </c>
      <c r="F14" s="16">
        <v>62351</v>
      </c>
      <c r="G14" s="16">
        <v>52499</v>
      </c>
      <c r="H14" s="16">
        <v>40060</v>
      </c>
      <c r="I14" s="16">
        <v>15060</v>
      </c>
      <c r="J14" s="25">
        <v>70867.86</v>
      </c>
    </row>
    <row r="15" spans="1:14" x14ac:dyDescent="0.3">
      <c r="A15" t="s">
        <v>42</v>
      </c>
      <c r="B15">
        <v>1</v>
      </c>
      <c r="C15">
        <v>6658</v>
      </c>
      <c r="D15" s="16">
        <v>72084</v>
      </c>
      <c r="E15" s="16">
        <v>65357</v>
      </c>
      <c r="F15" s="16">
        <v>62356</v>
      </c>
      <c r="G15" s="16">
        <v>52504</v>
      </c>
      <c r="H15" s="16">
        <v>40065</v>
      </c>
      <c r="I15" s="16">
        <v>15065</v>
      </c>
      <c r="J15" s="25">
        <v>47262.97</v>
      </c>
      <c r="M15" s="18" t="s">
        <v>13</v>
      </c>
      <c r="N15" t="s">
        <v>67</v>
      </c>
    </row>
    <row r="16" spans="1:14" x14ac:dyDescent="0.3">
      <c r="A16" t="s">
        <v>43</v>
      </c>
      <c r="B16">
        <v>2</v>
      </c>
      <c r="C16">
        <v>90</v>
      </c>
      <c r="D16" s="16">
        <v>72089</v>
      </c>
      <c r="E16" s="16">
        <v>65362</v>
      </c>
      <c r="F16" s="16">
        <v>62361</v>
      </c>
      <c r="G16" s="16">
        <v>52509</v>
      </c>
      <c r="H16" s="16">
        <v>40070</v>
      </c>
      <c r="I16" s="16">
        <v>15070</v>
      </c>
      <c r="J16" s="25">
        <v>56364.44</v>
      </c>
      <c r="M16" s="19">
        <v>1</v>
      </c>
      <c r="N16" s="20">
        <v>0.20370370370370369</v>
      </c>
    </row>
    <row r="17" spans="1:18" x14ac:dyDescent="0.3">
      <c r="A17" t="s">
        <v>44</v>
      </c>
      <c r="B17">
        <v>2</v>
      </c>
      <c r="C17">
        <v>2381</v>
      </c>
      <c r="D17" s="16">
        <v>72094</v>
      </c>
      <c r="E17" s="16">
        <v>65367</v>
      </c>
      <c r="F17" s="16">
        <v>62366</v>
      </c>
      <c r="G17" s="16">
        <v>52514</v>
      </c>
      <c r="H17" s="16">
        <v>40075</v>
      </c>
      <c r="I17" s="16">
        <v>15075</v>
      </c>
      <c r="J17" s="25">
        <v>70906.460000000006</v>
      </c>
      <c r="M17" s="19">
        <v>2</v>
      </c>
      <c r="N17" s="20">
        <v>0.51851851851851849</v>
      </c>
    </row>
    <row r="18" spans="1:18" x14ac:dyDescent="0.3">
      <c r="A18" t="s">
        <v>45</v>
      </c>
      <c r="B18">
        <v>1</v>
      </c>
      <c r="C18">
        <v>7925</v>
      </c>
      <c r="D18" s="16">
        <v>72099</v>
      </c>
      <c r="E18" s="16">
        <v>65372</v>
      </c>
      <c r="F18" s="16">
        <v>62371</v>
      </c>
      <c r="G18" s="16">
        <v>52519</v>
      </c>
      <c r="H18" s="16">
        <v>40080</v>
      </c>
      <c r="I18" s="16">
        <v>15080</v>
      </c>
      <c r="J18" s="25">
        <v>47295.42</v>
      </c>
      <c r="M18" s="19">
        <v>3</v>
      </c>
      <c r="N18" s="20">
        <v>0.27777777777777779</v>
      </c>
    </row>
    <row r="19" spans="1:18" x14ac:dyDescent="0.3">
      <c r="A19" t="s">
        <v>46</v>
      </c>
      <c r="B19">
        <v>3</v>
      </c>
      <c r="C19">
        <v>3905</v>
      </c>
      <c r="D19" s="16">
        <v>72104</v>
      </c>
      <c r="E19" s="16">
        <v>65377</v>
      </c>
      <c r="F19" s="16">
        <v>62376</v>
      </c>
      <c r="G19" s="16">
        <v>52524</v>
      </c>
      <c r="H19" s="16">
        <v>40085</v>
      </c>
      <c r="I19" s="16">
        <v>15085</v>
      </c>
      <c r="J19" s="25">
        <v>54869.09</v>
      </c>
    </row>
    <row r="20" spans="1:18" x14ac:dyDescent="0.3">
      <c r="A20" t="s">
        <v>47</v>
      </c>
      <c r="B20">
        <v>2</v>
      </c>
      <c r="C20">
        <v>8573</v>
      </c>
      <c r="D20" s="16">
        <v>72109</v>
      </c>
      <c r="E20" s="16">
        <v>65382</v>
      </c>
      <c r="F20" s="16">
        <v>62381</v>
      </c>
      <c r="G20" s="16">
        <v>52529</v>
      </c>
      <c r="H20" s="16">
        <v>40090</v>
      </c>
      <c r="I20" s="16">
        <v>15090</v>
      </c>
      <c r="J20" s="25">
        <v>36971.03</v>
      </c>
    </row>
    <row r="21" spans="1:18" x14ac:dyDescent="0.3">
      <c r="A21" t="s">
        <v>48</v>
      </c>
      <c r="B21">
        <v>1</v>
      </c>
      <c r="C21">
        <v>8943</v>
      </c>
      <c r="D21" s="16">
        <v>72114</v>
      </c>
      <c r="E21" s="16">
        <v>65387</v>
      </c>
      <c r="F21" s="16">
        <v>62386</v>
      </c>
      <c r="G21" s="16">
        <v>52534</v>
      </c>
      <c r="H21" s="16">
        <v>40095</v>
      </c>
      <c r="I21" s="16">
        <v>15095</v>
      </c>
      <c r="J21" s="25">
        <v>47327.87</v>
      </c>
    </row>
    <row r="22" spans="1:18" x14ac:dyDescent="0.3">
      <c r="A22" t="s">
        <v>49</v>
      </c>
      <c r="B22">
        <v>2</v>
      </c>
      <c r="C22">
        <v>718</v>
      </c>
      <c r="D22" s="16">
        <v>72119</v>
      </c>
      <c r="E22" s="16">
        <v>65392</v>
      </c>
      <c r="F22" s="16">
        <v>62391</v>
      </c>
      <c r="G22" s="16">
        <v>52539</v>
      </c>
      <c r="H22" s="16">
        <v>40100</v>
      </c>
      <c r="I22" s="16">
        <v>15100</v>
      </c>
      <c r="J22" s="25">
        <v>70970.789999999994</v>
      </c>
    </row>
    <row r="23" spans="1:18" x14ac:dyDescent="0.3">
      <c r="A23" t="s">
        <v>50</v>
      </c>
      <c r="B23">
        <v>3</v>
      </c>
      <c r="C23">
        <v>1906</v>
      </c>
      <c r="D23" s="16">
        <v>72124</v>
      </c>
      <c r="E23" s="16">
        <v>65397</v>
      </c>
      <c r="F23" s="16">
        <v>62396</v>
      </c>
      <c r="G23" s="16">
        <v>52544</v>
      </c>
      <c r="H23" s="16">
        <v>40105</v>
      </c>
      <c r="I23" s="16">
        <v>15105</v>
      </c>
      <c r="J23" s="25">
        <v>54910.87</v>
      </c>
    </row>
    <row r="24" spans="1:18" x14ac:dyDescent="0.3">
      <c r="A24" t="s">
        <v>51</v>
      </c>
      <c r="B24">
        <v>1</v>
      </c>
      <c r="C24">
        <v>6244</v>
      </c>
      <c r="D24" s="16">
        <v>72129</v>
      </c>
      <c r="E24" s="16">
        <v>65402</v>
      </c>
      <c r="F24" s="16">
        <v>62401</v>
      </c>
      <c r="G24" s="16">
        <v>52549</v>
      </c>
      <c r="H24" s="16">
        <v>40110</v>
      </c>
      <c r="I24" s="16">
        <v>15110</v>
      </c>
      <c r="J24" s="25">
        <v>47360.32</v>
      </c>
    </row>
    <row r="25" spans="1:18" x14ac:dyDescent="0.3">
      <c r="A25" t="s">
        <v>52</v>
      </c>
      <c r="B25">
        <v>1</v>
      </c>
      <c r="C25">
        <v>4194</v>
      </c>
      <c r="D25" s="16">
        <v>72134</v>
      </c>
      <c r="E25" s="16">
        <v>65407</v>
      </c>
      <c r="F25" s="16">
        <v>62406</v>
      </c>
      <c r="G25" s="16">
        <v>52554</v>
      </c>
      <c r="H25" s="16">
        <v>40115</v>
      </c>
      <c r="I25" s="16">
        <v>15115</v>
      </c>
      <c r="J25" s="25">
        <v>61277</v>
      </c>
      <c r="L25" s="18" t="s">
        <v>13</v>
      </c>
      <c r="M25" t="s">
        <v>61</v>
      </c>
      <c r="N25" t="s">
        <v>62</v>
      </c>
      <c r="O25" t="s">
        <v>63</v>
      </c>
      <c r="P25" t="s">
        <v>64</v>
      </c>
      <c r="Q25" t="s">
        <v>65</v>
      </c>
      <c r="R25" t="s">
        <v>66</v>
      </c>
    </row>
    <row r="26" spans="1:18" x14ac:dyDescent="0.3">
      <c r="A26" t="s">
        <v>53</v>
      </c>
      <c r="B26">
        <v>1</v>
      </c>
      <c r="C26">
        <v>6695</v>
      </c>
      <c r="D26" s="16">
        <v>72139</v>
      </c>
      <c r="E26" s="16">
        <v>65412</v>
      </c>
      <c r="F26" s="16">
        <v>62411</v>
      </c>
      <c r="G26" s="16">
        <v>52559</v>
      </c>
      <c r="H26" s="16">
        <v>40120</v>
      </c>
      <c r="I26" s="16">
        <v>15120</v>
      </c>
      <c r="J26" s="25">
        <v>47381.96</v>
      </c>
      <c r="L26" s="19">
        <v>1</v>
      </c>
      <c r="M26" s="20">
        <v>0.37301132649097013</v>
      </c>
      <c r="N26" s="20">
        <v>0.37342229990958975</v>
      </c>
      <c r="O26" s="20">
        <v>0.37354911844551086</v>
      </c>
      <c r="P26" s="20">
        <v>0.37560734252980876</v>
      </c>
      <c r="Q26" s="20">
        <v>0.3747022142595493</v>
      </c>
      <c r="R26" s="20">
        <v>0.36683806048543155</v>
      </c>
    </row>
    <row r="27" spans="1:18" x14ac:dyDescent="0.3">
      <c r="A27" t="s">
        <v>54</v>
      </c>
      <c r="B27">
        <v>2</v>
      </c>
      <c r="C27">
        <v>7077</v>
      </c>
      <c r="D27" s="16">
        <v>72144</v>
      </c>
      <c r="E27" s="16">
        <v>65417</v>
      </c>
      <c r="F27" s="16">
        <v>62416</v>
      </c>
      <c r="G27" s="16">
        <v>52564</v>
      </c>
      <c r="H27" s="16">
        <v>40125</v>
      </c>
      <c r="I27" s="16">
        <v>15125</v>
      </c>
      <c r="J27" s="25">
        <v>37028.19</v>
      </c>
      <c r="L27" s="19">
        <v>2</v>
      </c>
      <c r="M27" s="20">
        <v>0.48456000142980371</v>
      </c>
      <c r="N27" s="20">
        <v>0.48408992832094022</v>
      </c>
      <c r="O27" s="20">
        <v>0.48495188501624159</v>
      </c>
      <c r="P27" s="20">
        <v>0.48394236089393539</v>
      </c>
      <c r="Q27" s="20">
        <v>0.48563701713665042</v>
      </c>
      <c r="R27" s="20">
        <v>0.46676618565820754</v>
      </c>
    </row>
    <row r="28" spans="1:18" x14ac:dyDescent="0.3">
      <c r="A28" t="s">
        <v>55</v>
      </c>
      <c r="B28">
        <v>1</v>
      </c>
      <c r="C28">
        <v>7020</v>
      </c>
      <c r="D28" s="16">
        <v>72149</v>
      </c>
      <c r="E28" s="16">
        <v>65422</v>
      </c>
      <c r="F28" s="16">
        <v>62421</v>
      </c>
      <c r="G28" s="16">
        <v>52569</v>
      </c>
      <c r="H28" s="16">
        <v>40130</v>
      </c>
      <c r="I28" s="16">
        <v>15130</v>
      </c>
      <c r="J28" s="25">
        <v>47403.59</v>
      </c>
      <c r="L28" s="19">
        <v>3</v>
      </c>
      <c r="M28" s="20">
        <v>0.14242867207922619</v>
      </c>
      <c r="N28" s="20">
        <v>0.14248777176947</v>
      </c>
      <c r="O28" s="20">
        <v>0.14149899653824752</v>
      </c>
      <c r="P28" s="20">
        <v>0.14045029657625582</v>
      </c>
      <c r="Q28" s="20">
        <v>0.13966076860380028</v>
      </c>
      <c r="R28" s="20">
        <v>0.16639575385636093</v>
      </c>
    </row>
    <row r="29" spans="1:18" x14ac:dyDescent="0.3">
      <c r="A29" t="s">
        <v>56</v>
      </c>
      <c r="B29">
        <v>2</v>
      </c>
      <c r="C29">
        <v>3233</v>
      </c>
      <c r="D29" s="16">
        <v>72154</v>
      </c>
      <c r="E29" s="16">
        <v>65427</v>
      </c>
      <c r="F29" s="16">
        <v>62426</v>
      </c>
      <c r="G29" s="16">
        <v>52574</v>
      </c>
      <c r="H29" s="16">
        <v>40135</v>
      </c>
      <c r="I29" s="16">
        <v>15135</v>
      </c>
      <c r="J29" s="25">
        <v>71060.850000000006</v>
      </c>
    </row>
    <row r="30" spans="1:18" x14ac:dyDescent="0.3">
      <c r="A30" t="s">
        <v>57</v>
      </c>
      <c r="B30">
        <v>2</v>
      </c>
      <c r="C30">
        <v>8025</v>
      </c>
      <c r="D30" s="16">
        <v>72159</v>
      </c>
      <c r="E30" s="16">
        <v>65432</v>
      </c>
      <c r="F30" s="16">
        <v>62431</v>
      </c>
      <c r="G30" s="16">
        <v>52579</v>
      </c>
      <c r="H30" s="16">
        <v>40140</v>
      </c>
      <c r="I30" s="16">
        <v>15140</v>
      </c>
      <c r="J30" s="25">
        <v>37052.69</v>
      </c>
      <c r="L30" s="20"/>
    </row>
    <row r="31" spans="1:18" x14ac:dyDescent="0.3">
      <c r="A31" t="s">
        <v>58</v>
      </c>
      <c r="B31">
        <v>2</v>
      </c>
      <c r="C31">
        <v>5713</v>
      </c>
      <c r="D31" s="16">
        <v>72164</v>
      </c>
      <c r="E31" s="16">
        <v>65437</v>
      </c>
      <c r="F31" s="16">
        <v>62436</v>
      </c>
      <c r="G31" s="16">
        <v>52584</v>
      </c>
      <c r="H31" s="16">
        <v>40145</v>
      </c>
      <c r="I31" s="16">
        <v>15145</v>
      </c>
      <c r="J31" s="25">
        <v>37060.85</v>
      </c>
    </row>
    <row r="34" spans="13:14" x14ac:dyDescent="0.3">
      <c r="M34" s="18" t="s">
        <v>13</v>
      </c>
      <c r="N34" t="s">
        <v>60</v>
      </c>
    </row>
    <row r="35" spans="13:14" x14ac:dyDescent="0.3">
      <c r="M35" s="19">
        <v>1</v>
      </c>
      <c r="N35" s="17">
        <v>548046.02</v>
      </c>
    </row>
    <row r="36" spans="13:14" x14ac:dyDescent="0.3">
      <c r="M36" s="19">
        <v>2</v>
      </c>
      <c r="N36" s="17">
        <v>710955.4800000001</v>
      </c>
    </row>
    <row r="37" spans="13:14" x14ac:dyDescent="0.3">
      <c r="M37" s="19">
        <v>3</v>
      </c>
      <c r="N37" s="17">
        <v>241561.05</v>
      </c>
    </row>
  </sheetData>
  <pageMargins left="0.7" right="0.7" top="0.75" bottom="0.75" header="0.3" footer="0.3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Calculator</vt:lpstr>
      <vt:lpstr>Completion_Factors</vt:lpstr>
      <vt:lpstr>Companies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</dc:creator>
  <cp:lastModifiedBy>Nyoumssi Junior</cp:lastModifiedBy>
  <dcterms:created xsi:type="dcterms:W3CDTF">2022-03-18T22:57:36Z</dcterms:created>
  <dcterms:modified xsi:type="dcterms:W3CDTF">2026-10-12T09:11:33Z</dcterms:modified>
</cp:coreProperties>
</file>